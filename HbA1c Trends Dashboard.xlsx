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2"/>
  <workbookPr/>
  <xr:revisionPtr revIDLastSave="0" documentId="8_{35C56EB4-44E2-43FB-8FCB-0B34A3F0CF0F}" xr6:coauthVersionLast="47" xr6:coauthVersionMax="47" xr10:uidLastSave="{00000000-0000-0000-0000-000000000000}"/>
  <bookViews>
    <workbookView xWindow="240" yWindow="105" windowWidth="14805" windowHeight="8010" activeTab="5" xr2:uid="{00000000-000D-0000-FFFF-FFFF00000000}"/>
  </bookViews>
  <sheets>
    <sheet name="HbA1c_Analysis" sheetId="6" r:id="rId1"/>
    <sheet name="Sheet1" sheetId="7" state="hidden" r:id="rId2"/>
    <sheet name="Sheet2" sheetId="8" state="hidden" r:id="rId3"/>
    <sheet name="Sheet3" sheetId="9" state="hidden" r:id="rId4"/>
    <sheet name="HbA1c_Data" sheetId="1" r:id="rId5"/>
    <sheet name="HbA1c_Dashboard" sheetId="2" r:id="rId6"/>
    <sheet name="Appointment No-Show Dashboard" sheetId="3" state="hidden" r:id="rId7"/>
    <sheet name="Patient Appointment" sheetId="4" state="hidden" r:id="rId8"/>
    <sheet name="Weight Trend Dashboard" sheetId="5" state="hidden" r:id="rId9"/>
  </sheets>
  <externalReferences>
    <externalReference r:id="rId10"/>
    <externalReference r:id="rId11"/>
  </externalReferences>
  <calcPr calcId="191028"/>
  <pivotCaches>
    <pivotCache cacheId="3191"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2" l="1"/>
  <c r="B7" i="2"/>
  <c r="B6" i="2"/>
  <c r="B5" i="2"/>
</calcChain>
</file>

<file path=xl/sharedStrings.xml><?xml version="1.0" encoding="utf-8"?>
<sst xmlns="http://schemas.openxmlformats.org/spreadsheetml/2006/main" count="345" uniqueCount="97">
  <si>
    <t>Date</t>
  </si>
  <si>
    <t>Average of HbA1c (%)</t>
  </si>
  <si>
    <t>Grand Total</t>
  </si>
  <si>
    <t>Age_Group</t>
  </si>
  <si>
    <t>18-35</t>
  </si>
  <si>
    <t>36-50</t>
  </si>
  <si>
    <t>51-65</t>
  </si>
  <si>
    <t>65+</t>
  </si>
  <si>
    <t>Appointment_Attended</t>
  </si>
  <si>
    <t>No</t>
  </si>
  <si>
    <t>Yes</t>
  </si>
  <si>
    <t>Intervention_Type</t>
  </si>
  <si>
    <t>Sum of HbA1c (%)</t>
  </si>
  <si>
    <t>Diet + Exercise</t>
  </si>
  <si>
    <t>Diet Advice</t>
  </si>
  <si>
    <t>Medication</t>
  </si>
  <si>
    <t>None</t>
  </si>
  <si>
    <t>Patient_ID</t>
  </si>
  <si>
    <t>Gender</t>
  </si>
  <si>
    <t>Diabetes_Type</t>
  </si>
  <si>
    <t>HbA1c (%)</t>
  </si>
  <si>
    <t>P001</t>
  </si>
  <si>
    <t>F</t>
  </si>
  <si>
    <t>Type 2</t>
  </si>
  <si>
    <t>P002</t>
  </si>
  <si>
    <t>M</t>
  </si>
  <si>
    <t>P003</t>
  </si>
  <si>
    <t>P004</t>
  </si>
  <si>
    <t>P005</t>
  </si>
  <si>
    <t>Type 1</t>
  </si>
  <si>
    <t>P006</t>
  </si>
  <si>
    <t>HbA1c Trends Dashboard</t>
  </si>
  <si>
    <t xml:space="preserve">Metric </t>
  </si>
  <si>
    <t xml:space="preserve">Value </t>
  </si>
  <si>
    <t>Average HbA1C</t>
  </si>
  <si>
    <t>Attendence Rate</t>
  </si>
  <si>
    <t>Total Patients</t>
  </si>
  <si>
    <t>Total Attended</t>
  </si>
  <si>
    <t xml:space="preserve">Key Insights: </t>
  </si>
  <si>
    <t>HbA1c levels show a clear decreasing trend over time</t>
  </si>
  <si>
    <t>Patients attending appointments demonstrate better glycaemic control</t>
  </si>
  <si>
    <t>Attendence rate is 72%, indicating moderate engagement</t>
  </si>
  <si>
    <t>Diet and lifestyle interventions appear linked to improved outcomes</t>
  </si>
  <si>
    <t>Lower engagement may contribute to poorer patients outcomes</t>
  </si>
  <si>
    <t>Appointment No-Show Analysis</t>
  </si>
  <si>
    <t xml:space="preserve">Project description : This project analysis simulated healthcare appointment data to explore patterns in appointment attendance and no-show behaviour. The aim was to identify whether appointment day, clinic type, or patient age group may influence attendence rates using  Excel pivot tables and data visulization. </t>
  </si>
  <si>
    <t xml:space="preserve">Dataset: The dataset contains 30 simulated patient appointment records including patient age group, appointment type, appointment day, waiting time, and attendence status. </t>
  </si>
  <si>
    <t>Tools used: Microsoft excel, Pivot tables, Data Visualisation( column charts), Basic data analysis</t>
  </si>
  <si>
    <t>Appointment_Day</t>
  </si>
  <si>
    <t>Count of Attended</t>
  </si>
  <si>
    <t>Monday</t>
  </si>
  <si>
    <t>Tuesday</t>
  </si>
  <si>
    <t>Wednesday</t>
  </si>
  <si>
    <t>Thursday</t>
  </si>
  <si>
    <t>Friday</t>
  </si>
  <si>
    <t>Appointment_Type</t>
  </si>
  <si>
    <t>Diabetes Clinic</t>
  </si>
  <si>
    <t>Dietetics</t>
  </si>
  <si>
    <t>Weight Management</t>
  </si>
  <si>
    <t xml:space="preserve">Key insight: Patients with longer waiting times showed a higher likelihood of missing appointments. Weight management clinics also showed slightly higher non-attendance rates. </t>
  </si>
  <si>
    <t>Waiting_Days</t>
  </si>
  <si>
    <t>Attended</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</si>
  <si>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</si>
  <si>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</si>
  <si>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</si>
  <si>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</si>
  <si>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</si>
  <si>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</si>
  <si>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</si>
  <si>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</si>
  <si>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</si>
  <si>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</si>
  <si>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</si>
  <si>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</si>
  <si>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</si>
  <si>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</si>
  <si>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</si>
  <si>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</si>
  <si>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</si>
  <si>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</si>
  <si>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</si>
  <si>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</si>
  <si>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</si>
  <si>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</si>
  <si>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</si>
  <si>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</si>
  <si>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Weight Change Trends in Mental Health Inpatient Wards</t>
  </si>
  <si>
    <t xml:space="preserve">Project Description: </t>
  </si>
  <si>
    <t xml:space="preserve">This project analysis simulated inpatient weight data across two mental health wards. The aim was to explore whether weight change trends differ between admission and older adult wards Excel pivot tables and data visualization </t>
  </si>
  <si>
    <t xml:space="preserve">Dataset: 50 simulated patient records including ward type, age group, start weight, current weight and calculated weight change. </t>
  </si>
  <si>
    <t>Tools: Microsoft excel, Pivot tables, Calculated Columns, Data visulization</t>
  </si>
  <si>
    <t>Ward</t>
  </si>
  <si>
    <t>Average of Weight_Change_kg</t>
  </si>
  <si>
    <t>Admission</t>
  </si>
  <si>
    <t>Older Adult</t>
  </si>
  <si>
    <t>Patients in the admission ward experienced an average weight loss, whereas older adult patients tended to maintain or gain weight</t>
  </si>
  <si>
    <t>Key insight: Patients in the admission ward experienced an average weight loss of approximately 2.44kg, while the older adult ward showed a small average weight gain of around 0.9kg.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</si>
</sst>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8"/>
      <color theme="1"/>
      <name val="Aptos Narrow"/>
      <family val="2"/>
      <scheme val="minor"/>
    </font>
    <font>
      <b/>
      <sz val="11"/>
      <color rgb="FF242424"/>
      <name val="Segoe UI"/>
      <charset val="1"/>
    </font>
    <font>
      <b/>
      <sz val="11"/>
      <color theme="1"/>
      <name val="Aptos Narrow"/>
      <family val="2"/>
      <scheme val="minor"/>
    </font>
    <font>
      <sz val="11"/>
      <color rgb="FF242424"/>
      <name val="Segoe UI"/>
      <charset val="1"/>
    </font>
    <font>
      <sz val="18"/>
      <color theme="1"/>
      <name val="Aptos Narrow"/>
      <family val="2"/>
      <scheme val="minor"/>
    </font>
    <font>
      <b/>
      <sz val="11"/>
      <color theme="1"/>
      <name val="Segoe UI"/>
      <charset val="1"/>
    </font>
    <font>
      <sz val="11"/>
      <color theme="1"/>
      <name val="Segoe UI"/>
      <charset val="1"/>
    </font>
    <font>
      <b/>
      <sz val="20"/>
      <color rgb="FF000000"/>
      <name val="Aptos Narrow"/>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1" fillId="0" borderId="0" xfId="0" applyFont="1"/>
    <xf numFmtId="0" fontId="2" fillId="0" borderId="1" xfId="0" applyFont="1" applyBorder="1" applyAlignment="1">
      <alignment wrapText="1" readingOrder="1"/>
    </xf>
    <xf numFmtId="0" fontId="3" fillId="0" borderId="1" xfId="0" applyFont="1" applyBorder="1"/>
    <xf numFmtId="0" fontId="4" fillId="0" borderId="1" xfId="0" applyFont="1" applyBorder="1" applyAlignment="1">
      <alignment wrapText="1"/>
    </xf>
    <xf numFmtId="0" fontId="0" fillId="0" borderId="1" xfId="0" applyBorder="1"/>
    <xf numFmtId="0" fontId="5" fillId="0" borderId="0" xfId="0" applyFont="1"/>
    <xf numFmtId="0" fontId="6" fillId="2" borderId="1" xfId="0" applyFont="1" applyFill="1" applyBorder="1" applyAlignment="1">
      <alignment wrapText="1"/>
    </xf>
    <xf numFmtId="0" fontId="7" fillId="2" borderId="1" xfId="0" applyFont="1" applyFill="1" applyBorder="1" applyAlignment="1">
      <alignment wrapText="1"/>
    </xf>
    <xf numFmtId="14" fontId="7" fillId="2" borderId="1" xfId="0" applyNumberFormat="1" applyFont="1" applyFill="1" applyBorder="1" applyAlignment="1">
      <alignment wrapText="1"/>
    </xf>
    <xf numFmtId="0" fontId="0" fillId="0" borderId="0" xfId="0" pivotButton="1"/>
    <xf numFmtId="14" fontId="0" fillId="0" borderId="0" xfId="0" applyNumberFormat="1"/>
    <xf numFmtId="0" fontId="0" fillId="0" borderId="0" xfId="0" applyNumberFormat="1"/>
    <xf numFmtId="9" fontId="0" fillId="0" borderId="1" xfId="0" applyNumberFormat="1" applyBorder="1"/>
    <xf numFmtId="2" fontId="0" fillId="0" borderId="1" xfId="0" applyNumberFormat="1" applyBorder="1"/>
    <xf numFmtId="0" fontId="8"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Dashboard.xlsx]HbA1c_Analysis!PivotTable1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HbA1c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HbA1c_Analysis!$B$3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HbA1c_Analysis!$A$4:$A$7</c:f>
              <c:strCache>
                <c:ptCount val="3"/>
                <c:pt idx="0">
                  <c:v>1/1/2025</c:v>
                </c:pt>
                <c:pt idx="1">
                  <c:v>1/3/2025</c:v>
                </c:pt>
                <c:pt idx="2">
                  <c:v>1/6/2025</c:v>
                </c:pt>
              </c:strCache>
            </c:strRef>
          </c:cat>
          <c:val>
            <c:numRef>
              <c:f>HbA1c_Analysis!$B$4:$B$7</c:f>
              <c:numCache>
                <c:formatCode>General</c:formatCode>
                <c:ptCount val="3"/>
                <c:pt idx="0">
                  <c:v>9.3166666666666647</c:v>
                </c:pt>
                <c:pt idx="1">
                  <c:v>9.0166666666666657</c:v>
                </c:pt>
                <c:pt idx="2">
                  <c:v>8.5833333333333339</c:v>
                </c:pt>
              </c:numCache>
            </c:numRef>
          </c:val>
          <c:smooth val="0"/>
          <c:extLst>
            <c:ext xmlns:c16="http://schemas.microsoft.com/office/drawing/2014/chart" uri="{C3380CC4-5D6E-409C-BE32-E72D297353CC}">
              <c16:uniqueId val="{00000000-3326-4CE8-911F-31955AE39702}"/>
            </c:ext>
          </c:extLst>
        </c:ser>
        <c:dLbls>
          <c:showLegendKey val="0"/>
          <c:showVal val="0"/>
          <c:showCatName val="0"/>
          <c:showSerName val="0"/>
          <c:showPercent val="0"/>
          <c:showBubbleSize val="0"/>
        </c:dLbls>
        <c:marker val="1"/>
        <c:smooth val="0"/>
        <c:axId val="971111944"/>
        <c:axId val="1250047495"/>
      </c:lineChart>
      <c:catAx>
        <c:axId val="971111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047495"/>
        <c:crosses val="autoZero"/>
        <c:auto val="1"/>
        <c:lblAlgn val="ctr"/>
        <c:lblOffset val="100"/>
        <c:noMultiLvlLbl val="0"/>
      </c:catAx>
      <c:valAx>
        <c:axId val="1250047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111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Dashboard.xlsx]Sheet1!PivotTable2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HbA1c by Age Group (Higher in 36-65)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c:f>
              <c:strCache>
                <c:ptCount val="4"/>
                <c:pt idx="0">
                  <c:v>18-35</c:v>
                </c:pt>
                <c:pt idx="1">
                  <c:v>36-50</c:v>
                </c:pt>
                <c:pt idx="2">
                  <c:v>51-65</c:v>
                </c:pt>
                <c:pt idx="3">
                  <c:v>65+</c:v>
                </c:pt>
              </c:strCache>
            </c:strRef>
          </c:cat>
          <c:val>
            <c:numRef>
              <c:f>Sheet1!$B$4:$B$8</c:f>
              <c:numCache>
                <c:formatCode>General</c:formatCode>
                <c:ptCount val="4"/>
                <c:pt idx="0">
                  <c:v>8.5</c:v>
                </c:pt>
                <c:pt idx="1">
                  <c:v>9.1166666666666671</c:v>
                </c:pt>
                <c:pt idx="2">
                  <c:v>9.0166666666666675</c:v>
                </c:pt>
                <c:pt idx="3">
                  <c:v>9.0666666666666664</c:v>
                </c:pt>
              </c:numCache>
            </c:numRef>
          </c:val>
          <c:extLst>
            <c:ext xmlns:c16="http://schemas.microsoft.com/office/drawing/2014/chart" uri="{C3380CC4-5D6E-409C-BE32-E72D297353CC}">
              <c16:uniqueId val="{00000000-E58A-4681-9889-463A6AB98783}"/>
            </c:ext>
          </c:extLst>
        </c:ser>
        <c:dLbls>
          <c:showLegendKey val="0"/>
          <c:showVal val="0"/>
          <c:showCatName val="0"/>
          <c:showSerName val="0"/>
          <c:showPercent val="0"/>
          <c:showBubbleSize val="0"/>
        </c:dLbls>
        <c:gapWidth val="182"/>
        <c:axId val="1940463623"/>
        <c:axId val="1940465671"/>
      </c:barChart>
      <c:catAx>
        <c:axId val="1940463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465671"/>
        <c:crosses val="autoZero"/>
        <c:auto val="1"/>
        <c:lblAlgn val="ctr"/>
        <c:lblOffset val="100"/>
        <c:noMultiLvlLbl val="0"/>
      </c:catAx>
      <c:valAx>
        <c:axId val="1940465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4636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Dashboard.xlsx]Sheet2!PivotTable3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HbA1c by Appointment Attendance (Higher in Non-Attenders)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Sheet2!$A$4:$A$6</c:f>
              <c:strCache>
                <c:ptCount val="2"/>
                <c:pt idx="0">
                  <c:v>No</c:v>
                </c:pt>
                <c:pt idx="1">
                  <c:v>Yes</c:v>
                </c:pt>
              </c:strCache>
            </c:strRef>
          </c:cat>
          <c:val>
            <c:numRef>
              <c:f>Sheet2!$B$4:$B$6</c:f>
              <c:numCache>
                <c:formatCode>General</c:formatCode>
                <c:ptCount val="2"/>
                <c:pt idx="0">
                  <c:v>9.84</c:v>
                </c:pt>
                <c:pt idx="1">
                  <c:v>8.638461538461538</c:v>
                </c:pt>
              </c:numCache>
            </c:numRef>
          </c:val>
          <c:extLst>
            <c:ext xmlns:c16="http://schemas.microsoft.com/office/drawing/2014/chart" uri="{C3380CC4-5D6E-409C-BE32-E72D297353CC}">
              <c16:uniqueId val="{00000000-9F34-408F-B6A8-D2EDCFCA7944}"/>
            </c:ext>
          </c:extLst>
        </c:ser>
        <c:dLbls>
          <c:showLegendKey val="0"/>
          <c:showVal val="0"/>
          <c:showCatName val="0"/>
          <c:showSerName val="0"/>
          <c:showPercent val="0"/>
          <c:showBubbleSize val="0"/>
        </c:dLbls>
        <c:gapWidth val="182"/>
        <c:axId val="218095624"/>
        <c:axId val="218097672"/>
      </c:barChart>
      <c:catAx>
        <c:axId val="218095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097672"/>
        <c:crosses val="autoZero"/>
        <c:auto val="1"/>
        <c:lblAlgn val="ctr"/>
        <c:lblOffset val="100"/>
        <c:noMultiLvlLbl val="0"/>
      </c:catAx>
      <c:valAx>
        <c:axId val="218097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0956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Dashboard.xlsx]Sheet3!PivotTable4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HbA1c by Intervention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Sheet3!$A$4:$A$8</c:f>
              <c:strCache>
                <c:ptCount val="4"/>
                <c:pt idx="0">
                  <c:v>Diet + Exercise</c:v>
                </c:pt>
                <c:pt idx="1">
                  <c:v>Diet Advice</c:v>
                </c:pt>
                <c:pt idx="2">
                  <c:v>Medication</c:v>
                </c:pt>
                <c:pt idx="3">
                  <c:v>None</c:v>
                </c:pt>
              </c:strCache>
            </c:strRef>
          </c:cat>
          <c:val>
            <c:numRef>
              <c:f>Sheet3!$B$4:$B$8</c:f>
              <c:numCache>
                <c:formatCode>General</c:formatCode>
                <c:ptCount val="4"/>
                <c:pt idx="0">
                  <c:v>23.9</c:v>
                </c:pt>
                <c:pt idx="1">
                  <c:v>64.2</c:v>
                </c:pt>
                <c:pt idx="2">
                  <c:v>24.200000000000003</c:v>
                </c:pt>
                <c:pt idx="3">
                  <c:v>49.199999999999996</c:v>
                </c:pt>
              </c:numCache>
            </c:numRef>
          </c:val>
          <c:extLst>
            <c:ext xmlns:c16="http://schemas.microsoft.com/office/drawing/2014/chart" uri="{C3380CC4-5D6E-409C-BE32-E72D297353CC}">
              <c16:uniqueId val="{00000000-E424-4B77-AE8F-B7C7C8A6A127}"/>
            </c:ext>
          </c:extLst>
        </c:ser>
        <c:dLbls>
          <c:showLegendKey val="0"/>
          <c:showVal val="0"/>
          <c:showCatName val="0"/>
          <c:showSerName val="0"/>
          <c:showPercent val="0"/>
          <c:showBubbleSize val="0"/>
        </c:dLbls>
        <c:gapWidth val="182"/>
        <c:axId val="1768794119"/>
        <c:axId val="222572551"/>
      </c:barChart>
      <c:catAx>
        <c:axId val="1768794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572551"/>
        <c:crosses val="autoZero"/>
        <c:auto val="1"/>
        <c:lblAlgn val="ctr"/>
        <c:lblOffset val="100"/>
        <c:noMultiLvlLbl val="0"/>
      </c:catAx>
      <c:valAx>
        <c:axId val="222572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7941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Appointment Attendance by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'[1]Appointment No-Show Dashboard'!$B$11</c:f>
              <c:strCache>
                <c:ptCount val="1"/>
              </c:strCache>
            </c:strRef>
          </c:tx>
          <c:spPr>
            <a:solidFill>
              <a:schemeClr val="accent1"/>
            </a:solidFill>
            <a:ln>
              <a:noFill/>
            </a:ln>
            <a:effectLst/>
          </c:spPr>
          <c:invertIfNegative val="0"/>
          <c:cat>
            <c:strLit>
              <c:ptCount val="5"/>
              <c:pt idx="0">
                <c:v>Monday</c:v>
              </c:pt>
              <c:pt idx="1">
                <c:v>Tuesday</c:v>
              </c:pt>
              <c:pt idx="2">
                <c:v>Wednesday</c:v>
              </c:pt>
              <c:pt idx="3">
                <c:v>Thursday</c:v>
              </c:pt>
              <c:pt idx="4">
                <c:v>Friday</c:v>
              </c:pt>
            </c:strLit>
          </c:cat>
          <c:val>
            <c:numLit>
              <c:formatCode>General</c:formatCode>
              <c:ptCount val="5"/>
              <c:pt idx="0">
                <c:v>7</c:v>
              </c:pt>
              <c:pt idx="1">
                <c:v>6</c:v>
              </c:pt>
              <c:pt idx="2">
                <c:v>6</c:v>
              </c:pt>
              <c:pt idx="3">
                <c:v>5</c:v>
              </c:pt>
              <c:pt idx="4">
                <c:v>6</c:v>
              </c:pt>
            </c:numLit>
          </c:val>
          <c:extLst>
            <c:ext xmlns:c16="http://schemas.microsoft.com/office/drawing/2014/chart" uri="{C3380CC4-5D6E-409C-BE32-E72D297353CC}">
              <c16:uniqueId val="{00000000-9463-4213-A5B2-1D48EC803204}"/>
            </c:ext>
          </c:extLst>
        </c:ser>
        <c:dLbls>
          <c:showLegendKey val="0"/>
          <c:showVal val="0"/>
          <c:showCatName val="0"/>
          <c:showSerName val="0"/>
          <c:showPercent val="0"/>
          <c:showBubbleSize val="0"/>
        </c:dLbls>
        <c:gapWidth val="219"/>
        <c:overlap val="-27"/>
        <c:axId val="747723783"/>
        <c:axId val="747735559"/>
      </c:barChart>
      <c:catAx>
        <c:axId val="747723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735559"/>
        <c:crosses val="autoZero"/>
        <c:auto val="1"/>
        <c:lblAlgn val="ctr"/>
        <c:lblOffset val="100"/>
        <c:noMultiLvlLbl val="0"/>
      </c:catAx>
      <c:valAx>
        <c:axId val="747735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723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Appointments Attendence by Clinic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HbA1c_Dashboard!$B$6</c:f>
              <c:strCache>
                <c:ptCount val="1"/>
                <c:pt idx="0">
                  <c:v>72%</c:v>
                </c:pt>
              </c:strCache>
            </c:strRef>
          </c:tx>
          <c:spPr>
            <a:solidFill>
              <a:schemeClr val="accent1"/>
            </a:solidFill>
            <a:ln>
              <a:noFill/>
            </a:ln>
            <a:effectLst/>
          </c:spPr>
          <c:invertIfNegative val="0"/>
          <c:cat>
            <c:strLit>
              <c:ptCount val="3"/>
              <c:pt idx="0">
                <c:v>Diabetes Clinic</c:v>
              </c:pt>
              <c:pt idx="1">
                <c:v>Dietetics</c:v>
              </c:pt>
              <c:pt idx="2">
                <c:v>Weight Management</c:v>
              </c:pt>
            </c:strLit>
          </c:cat>
          <c:val>
            <c:numLit>
              <c:formatCode>General</c:formatCode>
              <c:ptCount val="3"/>
              <c:pt idx="0">
                <c:v>10</c:v>
              </c:pt>
              <c:pt idx="1">
                <c:v>10</c:v>
              </c:pt>
              <c:pt idx="2">
                <c:v>10</c:v>
              </c:pt>
            </c:numLit>
          </c:val>
          <c:extLst>
            <c:ext xmlns:c16="http://schemas.microsoft.com/office/drawing/2014/chart" uri="{C3380CC4-5D6E-409C-BE32-E72D297353CC}">
              <c16:uniqueId val="{00000000-DD0D-467F-B880-2DA7C4462833}"/>
            </c:ext>
          </c:extLst>
        </c:ser>
        <c:dLbls>
          <c:showLegendKey val="0"/>
          <c:showVal val="0"/>
          <c:showCatName val="0"/>
          <c:showSerName val="0"/>
          <c:showPercent val="0"/>
          <c:showBubbleSize val="0"/>
        </c:dLbls>
        <c:gapWidth val="219"/>
        <c:overlap val="-27"/>
        <c:axId val="1580252679"/>
        <c:axId val="747718151"/>
      </c:barChart>
      <c:catAx>
        <c:axId val="1580252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718151"/>
        <c:crosses val="autoZero"/>
        <c:auto val="1"/>
        <c:lblAlgn val="ctr"/>
        <c:lblOffset val="100"/>
        <c:noMultiLvlLbl val="0"/>
      </c:catAx>
      <c:valAx>
        <c:axId val="747718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2526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Appointment Attendance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[2]Sheet3!$B$3</c:f>
              <c:strCache>
                <c:ptCount val="1"/>
              </c:strCache>
            </c:strRef>
          </c:tx>
          <c:spPr>
            <a:solidFill>
              <a:schemeClr val="accent1"/>
            </a:solidFill>
            <a:ln>
              <a:noFill/>
            </a:ln>
            <a:effectLst/>
          </c:spPr>
          <c:invertIfNegative val="0"/>
          <c:cat>
            <c:strLit>
              <c:ptCount val="4"/>
              <c:pt idx="0">
                <c:v>18-35</c:v>
              </c:pt>
              <c:pt idx="1">
                <c:v>36-50</c:v>
              </c:pt>
              <c:pt idx="2">
                <c:v>51-65</c:v>
              </c:pt>
              <c:pt idx="3">
                <c:v>65+</c:v>
              </c:pt>
            </c:strLit>
          </c:cat>
          <c:val>
            <c:numLit>
              <c:formatCode>General</c:formatCode>
              <c:ptCount val="4"/>
              <c:pt idx="0">
                <c:v>9</c:v>
              </c:pt>
              <c:pt idx="1">
                <c:v>9</c:v>
              </c:pt>
              <c:pt idx="2">
                <c:v>6</c:v>
              </c:pt>
              <c:pt idx="3">
                <c:v>6</c:v>
              </c:pt>
            </c:numLit>
          </c:val>
          <c:extLst>
            <c:ext xmlns:c16="http://schemas.microsoft.com/office/drawing/2014/chart" uri="{C3380CC4-5D6E-409C-BE32-E72D297353CC}">
              <c16:uniqueId val="{00000000-2317-4AA5-97A4-A2F369045841}"/>
            </c:ext>
          </c:extLst>
        </c:ser>
        <c:dLbls>
          <c:showLegendKey val="0"/>
          <c:showVal val="0"/>
          <c:showCatName val="0"/>
          <c:showSerName val="0"/>
          <c:showPercent val="0"/>
          <c:showBubbleSize val="0"/>
        </c:dLbls>
        <c:gapWidth val="219"/>
        <c:overlap val="-27"/>
        <c:axId val="717422599"/>
        <c:axId val="717424647"/>
      </c:barChart>
      <c:catAx>
        <c:axId val="717422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424647"/>
        <c:crosses val="autoZero"/>
        <c:auto val="1"/>
        <c:lblAlgn val="ctr"/>
        <c:lblOffset val="100"/>
        <c:noMultiLvlLbl val="0"/>
      </c:catAx>
      <c:valAx>
        <c:axId val="717424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422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Weight Change by Ward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'[1]Weight Trend Dashboard'!$B$11</c:f>
              <c:strCache>
                <c:ptCount val="1"/>
              </c:strCache>
            </c:strRef>
          </c:tx>
          <c:spPr>
            <a:solidFill>
              <a:schemeClr val="accent1"/>
            </a:solidFill>
            <a:ln>
              <a:noFill/>
            </a:ln>
            <a:effectLst/>
          </c:spPr>
          <c:invertIfNegative val="0"/>
          <c:cat>
            <c:strLit>
              <c:ptCount val="2"/>
              <c:pt idx="0">
                <c:v>Admission</c:v>
              </c:pt>
              <c:pt idx="1">
                <c:v>Older Adult</c:v>
              </c:pt>
            </c:strLit>
          </c:cat>
          <c:val>
            <c:numLit>
              <c:formatCode>General</c:formatCode>
              <c:ptCount val="2"/>
              <c:pt idx="0">
                <c:v>-2.44</c:v>
              </c:pt>
              <c:pt idx="1">
                <c:v>0.92</c:v>
              </c:pt>
            </c:numLit>
          </c:val>
          <c:extLst>
            <c:ext xmlns:c16="http://schemas.microsoft.com/office/drawing/2014/chart" uri="{C3380CC4-5D6E-409C-BE32-E72D297353CC}">
              <c16:uniqueId val="{00000000-4FF3-45D8-B46D-73D08FD44FC3}"/>
            </c:ext>
          </c:extLst>
        </c:ser>
        <c:dLbls>
          <c:showLegendKey val="0"/>
          <c:showVal val="0"/>
          <c:showCatName val="0"/>
          <c:showSerName val="0"/>
          <c:showPercent val="0"/>
          <c:showBubbleSize val="0"/>
        </c:dLbls>
        <c:gapWidth val="219"/>
        <c:overlap val="-27"/>
        <c:axId val="1379016711"/>
        <c:axId val="1379018759"/>
      </c:barChart>
      <c:catAx>
        <c:axId val="1379016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018759"/>
        <c:crosses val="autoZero"/>
        <c:auto val="1"/>
        <c:lblAlgn val="ctr"/>
        <c:lblOffset val="100"/>
        <c:noMultiLvlLbl val="0"/>
      </c:catAx>
      <c:valAx>
        <c:axId val="1379018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0167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400050</xdr:colOff>
      <xdr:row>7</xdr:row>
      <xdr:rowOff>152400</xdr:rowOff>
    </xdr:from>
    <xdr:to>
      <xdr:col>13</xdr:col>
      <xdr:colOff>276225</xdr:colOff>
      <xdr:row>19</xdr:row>
      <xdr:rowOff>123825</xdr:rowOff>
    </xdr:to>
    <xdr:graphicFrame macro="">
      <xdr:nvGraphicFramePr>
        <xdr:cNvPr id="2" name="Chart 1">
          <a:extLst>
            <a:ext uri="{FF2B5EF4-FFF2-40B4-BE49-F238E27FC236}">
              <a16:creationId xmlns:a16="http://schemas.microsoft.com/office/drawing/2014/main" id="{13BB1E92-484F-4CF2-B915-6288BFC39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21</xdr:row>
      <xdr:rowOff>9525</xdr:rowOff>
    </xdr:from>
    <xdr:to>
      <xdr:col>6</xdr:col>
      <xdr:colOff>0</xdr:colOff>
      <xdr:row>35</xdr:row>
      <xdr:rowOff>85725</xdr:rowOff>
    </xdr:to>
    <xdr:graphicFrame macro="">
      <xdr:nvGraphicFramePr>
        <xdr:cNvPr id="3" name="Chart 2">
          <a:extLst>
            <a:ext uri="{FF2B5EF4-FFF2-40B4-BE49-F238E27FC236}">
              <a16:creationId xmlns:a16="http://schemas.microsoft.com/office/drawing/2014/main" id="{46BD2252-B3A0-4264-9B14-516DAD863372}"/>
            </a:ext>
            <a:ext uri="{147F2762-F138-4A5C-976F-8EAC2B608ADB}">
              <a16:predDERef xmlns:a16="http://schemas.microsoft.com/office/drawing/2014/main" pred="{13BB1E92-484F-4CF2-B915-6288BFC39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323850</xdr:colOff>
      <xdr:row>21</xdr:row>
      <xdr:rowOff>19050</xdr:rowOff>
    </xdr:from>
    <xdr:to>
      <xdr:col>14</xdr:col>
      <xdr:colOff>19050</xdr:colOff>
      <xdr:row>35</xdr:row>
      <xdr:rowOff>95250</xdr:rowOff>
    </xdr:to>
    <xdr:graphicFrame macro="">
      <xdr:nvGraphicFramePr>
        <xdr:cNvPr id="4" name="Chart 3">
          <a:extLst>
            <a:ext uri="{FF2B5EF4-FFF2-40B4-BE49-F238E27FC236}">
              <a16:creationId xmlns:a16="http://schemas.microsoft.com/office/drawing/2014/main" id="{8A56A71C-4AC4-4860-8030-69489FA6BDFB}"/>
            </a:ext>
            <a:ext uri="{147F2762-F138-4A5C-976F-8EAC2B608ADB}">
              <a16:predDERef xmlns:a16="http://schemas.microsoft.com/office/drawing/2014/main" pred="{46BD2252-B3A0-4264-9B14-516DAD8633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36</xdr:row>
      <xdr:rowOff>171450</xdr:rowOff>
    </xdr:from>
    <xdr:to>
      <xdr:col>6</xdr:col>
      <xdr:colOff>495300</xdr:colOff>
      <xdr:row>51</xdr:row>
      <xdr:rowOff>57150</xdr:rowOff>
    </xdr:to>
    <xdr:graphicFrame macro="">
      <xdr:nvGraphicFramePr>
        <xdr:cNvPr id="5" name="Chart 4">
          <a:extLst>
            <a:ext uri="{FF2B5EF4-FFF2-40B4-BE49-F238E27FC236}">
              <a16:creationId xmlns:a16="http://schemas.microsoft.com/office/drawing/2014/main" id="{E4E6772F-DC2D-4FBC-B0BA-30DAAA8EF6D7}"/>
            </a:ext>
            <a:ext uri="{147F2762-F138-4A5C-976F-8EAC2B608ADB}">
              <a16:predDERef xmlns:a16="http://schemas.microsoft.com/office/drawing/2014/main" pred="{8A56A71C-4AC4-4860-8030-69489FA6B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361950</xdr:colOff>
      <xdr:row>7</xdr:row>
      <xdr:rowOff>161925</xdr:rowOff>
    </xdr:from>
    <xdr:to>
      <xdr:col>10</xdr:col>
      <xdr:colOff>57150</xdr:colOff>
      <xdr:row>23</xdr:row>
      <xdr:rowOff>47625</xdr:rowOff>
    </xdr:to>
    <xdr:graphicFrame macro="">
      <xdr:nvGraphicFramePr>
        <xdr:cNvPr id="2" name="Chart 1">
          <a:extLst>
            <a:ext uri="{FF2B5EF4-FFF2-40B4-BE49-F238E27FC236}">
              <a16:creationId xmlns:a16="http://schemas.microsoft.com/office/drawing/2014/main" id="{E23EA3B9-A15A-4E36-846A-8767F1ED5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361950</xdr:colOff>
      <xdr:row>27</xdr:row>
      <xdr:rowOff>19050</xdr:rowOff>
    </xdr:from>
    <xdr:to>
      <xdr:col>10</xdr:col>
      <xdr:colOff>57150</xdr:colOff>
      <xdr:row>41</xdr:row>
      <xdr:rowOff>95250</xdr:rowOff>
    </xdr:to>
    <xdr:graphicFrame macro="">
      <xdr:nvGraphicFramePr>
        <xdr:cNvPr id="3" name="Chart 2">
          <a:extLst>
            <a:ext uri="{FF2B5EF4-FFF2-40B4-BE49-F238E27FC236}">
              <a16:creationId xmlns:a16="http://schemas.microsoft.com/office/drawing/2014/main" id="{39917211-07E3-4082-B28D-0B84BE0670FF}"/>
            </a:ext>
            <a:ext uri="{147F2762-F138-4A5C-976F-8EAC2B608ADB}">
              <a16:predDERef xmlns:a16="http://schemas.microsoft.com/office/drawing/2014/main" pred="{E23EA3B9-A15A-4E36-846A-8767F1ED5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352425</xdr:colOff>
      <xdr:row>43</xdr:row>
      <xdr:rowOff>152400</xdr:rowOff>
    </xdr:from>
    <xdr:to>
      <xdr:col>10</xdr:col>
      <xdr:colOff>47625</xdr:colOff>
      <xdr:row>58</xdr:row>
      <xdr:rowOff>38100</xdr:rowOff>
    </xdr:to>
    <xdr:graphicFrame macro="">
      <xdr:nvGraphicFramePr>
        <xdr:cNvPr id="4" name="Chart 3">
          <a:extLst>
            <a:ext uri="{FF2B5EF4-FFF2-40B4-BE49-F238E27FC236}">
              <a16:creationId xmlns:a16="http://schemas.microsoft.com/office/drawing/2014/main" id="{A98B82D9-9FA7-47F9-B5CA-580C062CE174}"/>
            </a:ext>
            <a:ext uri="{147F2762-F138-4A5C-976F-8EAC2B608ADB}">
              <a16:predDERef xmlns:a16="http://schemas.microsoft.com/office/drawing/2014/main" pred="{39917211-07E3-4082-B28D-0B84BE0670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19</xdr:row>
      <xdr:rowOff>9525</xdr:rowOff>
    </xdr:from>
    <xdr:to>
      <xdr:col>5</xdr:col>
      <xdr:colOff>114300</xdr:colOff>
      <xdr:row>33</xdr:row>
      <xdr:rowOff>85725</xdr:rowOff>
    </xdr:to>
    <xdr:graphicFrame macro="">
      <xdr:nvGraphicFramePr>
        <xdr:cNvPr id="2" name="Chart 1">
          <a:extLst>
            <a:ext uri="{FF2B5EF4-FFF2-40B4-BE49-F238E27FC236}">
              <a16:creationId xmlns:a16="http://schemas.microsoft.com/office/drawing/2014/main" id="{B1B22C39-B947-4A39-B44F-36E3DDE44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orkbook"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heet3"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ointment No-Show Dashboard"/>
      <sheetName val="Weight Trend Dashboard"/>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s>
    <sheetDataSet>
      <sheetData sheetId="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0.563061226851" createdVersion="8" refreshedVersion="8" minRefreshableVersion="3" recordCount="18" xr:uid="{B80E9616-85FE-482A-9B9A-07ECC832B2ED}">
  <cacheSource type="worksheet">
    <worksheetSource ref="A1:H19" sheet="HbA1c_Data"/>
  </cacheSource>
  <cacheFields count="8">
    <cacheField name="Patient_ID" numFmtId="0">
      <sharedItems/>
    </cacheField>
    <cacheField name="Age_Group" numFmtId="0">
      <sharedItems count="4">
        <s v="18-35"/>
        <s v="36-50"/>
        <s v="51-65"/>
        <s v="65+"/>
      </sharedItems>
    </cacheField>
    <cacheField name="Gender" numFmtId="0">
      <sharedItems/>
    </cacheField>
    <cacheField name="Diabetes_Type" numFmtId="0">
      <sharedItems/>
    </cacheField>
    <cacheField name="Date" numFmtId="14">
      <sharedItems containsSemiMixedTypes="0" containsNonDate="0" containsDate="1" containsString="0" minDate="2025-01-01T00:00:00" maxDate="2025-01-07T00:00:00" count="3">
        <d v="2025-01-01T00:00:00"/>
        <d v="2025-01-03T00:00:00"/>
        <d v="2025-01-06T00:00:00"/>
      </sharedItems>
    </cacheField>
    <cacheField name="HbA1c (%)" numFmtId="0">
      <sharedItems containsSemiMixedTypes="0" containsString="0" containsNumber="1" minValue="7.6" maxValue="10.4"/>
    </cacheField>
    <cacheField name="Appointment_Attended" numFmtId="0">
      <sharedItems count="2">
        <s v="Yes"/>
        <s v="No"/>
      </sharedItems>
    </cacheField>
    <cacheField name="Intervention_Type" numFmtId="0">
      <sharedItems count="4">
        <s v="Diet Advice"/>
        <s v="Diet + Exercise"/>
        <s v="None"/>
        <s v="Medicatio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s v="P001"/>
    <x v="0"/>
    <s v="F"/>
    <s v="Type 2"/>
    <x v="0"/>
    <n v="9.1999999999999993"/>
    <x v="0"/>
    <x v="0"/>
  </r>
  <r>
    <s v="P001"/>
    <x v="0"/>
    <s v="F"/>
    <s v="Type 2"/>
    <x v="1"/>
    <n v="8.5"/>
    <x v="0"/>
    <x v="0"/>
  </r>
  <r>
    <s v="P001"/>
    <x v="0"/>
    <s v="F"/>
    <s v="Type 2"/>
    <x v="2"/>
    <n v="7.8"/>
    <x v="0"/>
    <x v="1"/>
  </r>
  <r>
    <s v="P002"/>
    <x v="1"/>
    <s v="M"/>
    <s v="Type 2"/>
    <x v="0"/>
    <n v="10.1"/>
    <x v="1"/>
    <x v="2"/>
  </r>
  <r>
    <s v="P002"/>
    <x v="1"/>
    <s v="M"/>
    <s v="Type 2"/>
    <x v="1"/>
    <n v="10.4"/>
    <x v="1"/>
    <x v="2"/>
  </r>
  <r>
    <s v="P002"/>
    <x v="1"/>
    <s v="M"/>
    <s v="Type 2"/>
    <x v="2"/>
    <n v="10"/>
    <x v="0"/>
    <x v="0"/>
  </r>
  <r>
    <s v="P003"/>
    <x v="2"/>
    <s v="F"/>
    <s v="Type 2"/>
    <x v="0"/>
    <n v="8.8000000000000007"/>
    <x v="0"/>
    <x v="0"/>
  </r>
  <r>
    <s v="P003"/>
    <x v="2"/>
    <s v="F"/>
    <s v="Type 2"/>
    <x v="1"/>
    <n v="8.1999999999999993"/>
    <x v="0"/>
    <x v="1"/>
  </r>
  <r>
    <s v="P003"/>
    <x v="2"/>
    <s v="F"/>
    <s v="Type 2"/>
    <x v="2"/>
    <n v="7.9"/>
    <x v="0"/>
    <x v="1"/>
  </r>
  <r>
    <s v="P004"/>
    <x v="3"/>
    <s v="M"/>
    <s v="Type 2"/>
    <x v="0"/>
    <n v="9.5"/>
    <x v="0"/>
    <x v="0"/>
  </r>
  <r>
    <s v="P004"/>
    <x v="3"/>
    <s v="M"/>
    <s v="Type 2"/>
    <x v="1"/>
    <n v="9"/>
    <x v="1"/>
    <x v="2"/>
  </r>
  <r>
    <s v="P004"/>
    <x v="3"/>
    <s v="M"/>
    <s v="Type 2"/>
    <x v="2"/>
    <n v="8.6999999999999993"/>
    <x v="0"/>
    <x v="0"/>
  </r>
  <r>
    <s v="P005"/>
    <x v="1"/>
    <s v="F"/>
    <s v="Type 1"/>
    <x v="0"/>
    <n v="8.5"/>
    <x v="0"/>
    <x v="3"/>
  </r>
  <r>
    <s v="P005"/>
    <x v="1"/>
    <s v="F"/>
    <s v="Type 1"/>
    <x v="1"/>
    <n v="8.1"/>
    <x v="0"/>
    <x v="3"/>
  </r>
  <r>
    <s v="P005"/>
    <x v="1"/>
    <s v="F"/>
    <s v="Type 1"/>
    <x v="2"/>
    <n v="7.6"/>
    <x v="0"/>
    <x v="3"/>
  </r>
  <r>
    <s v="P006"/>
    <x v="2"/>
    <s v="M"/>
    <s v="Type 2"/>
    <x v="0"/>
    <n v="9.8000000000000007"/>
    <x v="1"/>
    <x v="2"/>
  </r>
  <r>
    <s v="P006"/>
    <x v="2"/>
    <s v="M"/>
    <s v="Type 2"/>
    <x v="1"/>
    <n v="9.9"/>
    <x v="1"/>
    <x v="2"/>
  </r>
  <r>
    <s v="P006"/>
    <x v="2"/>
    <s v="M"/>
    <s v="Type 2"/>
    <x v="2"/>
    <n v="9.5"/>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C17052-FE9C-40EE-860B-C9D8E1DD96AB}" name="PivotTable1" cacheId="319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B7" firstHeaderRow="1" firstDataRow="1" firstDataCol="1"/>
  <pivotFields count="8">
    <pivotField compact="0" outline="0" showAll="0"/>
    <pivotField compact="0" outline="0" showAll="0"/>
    <pivotField compact="0" outline="0" showAll="0"/>
    <pivotField compact="0" outline="0" showAll="0"/>
    <pivotField axis="axisRow" compact="0" numFmtId="14" outline="0" showAll="0">
      <items count="4">
        <item x="0"/>
        <item x="1"/>
        <item x="2"/>
        <item t="default"/>
      </items>
    </pivotField>
    <pivotField dataField="1" compact="0" outline="0" showAll="0"/>
    <pivotField compact="0" outline="0" showAll="0"/>
    <pivotField compact="0" outline="0" showAll="0"/>
  </pivotFields>
  <rowFields count="1">
    <field x="4"/>
  </rowFields>
  <rowItems count="4">
    <i>
      <x/>
    </i>
    <i>
      <x v="1"/>
    </i>
    <i>
      <x v="2"/>
    </i>
    <i t="grand">
      <x/>
    </i>
  </rowItems>
  <colItems count="1">
    <i/>
  </colItems>
  <dataFields count="1">
    <dataField name="Average of HbA1c (%)" fld="5" subtotal="average"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EA5082-B1B3-4882-8833-2083932CD446}" name="PivotTable2" cacheId="319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B8" firstHeaderRow="1" firstDataRow="1" firstDataCol="1"/>
  <pivotFields count="8">
    <pivotField compact="0" outline="0" showAll="0"/>
    <pivotField axis="axisRow" compact="0" outline="0" showAll="0">
      <items count="5">
        <item x="0"/>
        <item x="1"/>
        <item x="2"/>
        <item x="3"/>
        <item t="default"/>
      </items>
    </pivotField>
    <pivotField compact="0" outline="0" showAll="0"/>
    <pivotField compact="0" outline="0" showAll="0"/>
    <pivotField compact="0" numFmtId="14" outline="0" showAll="0"/>
    <pivotField dataField="1" compact="0" outline="0" showAll="0"/>
    <pivotField compact="0" outline="0" showAll="0"/>
    <pivotField compact="0" outline="0" showAll="0"/>
  </pivotFields>
  <rowFields count="1">
    <field x="1"/>
  </rowFields>
  <rowItems count="5">
    <i>
      <x/>
    </i>
    <i>
      <x v="1"/>
    </i>
    <i>
      <x v="2"/>
    </i>
    <i>
      <x v="3"/>
    </i>
    <i t="grand">
      <x/>
    </i>
  </rowItems>
  <colItems count="1">
    <i/>
  </colItems>
  <dataFields count="1">
    <dataField name="Average of HbA1c (%)" fld="5" subtotal="average"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85FCE3-55DD-4B5F-B978-E4442338F02D}" name="PivotTable3" cacheId="319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B6" firstHeaderRow="1" firstDataRow="1" firstDataCol="1"/>
  <pivotFields count="8">
    <pivotField compact="0" outline="0" showAll="0"/>
    <pivotField compact="0" outline="0" showAll="0"/>
    <pivotField compact="0" outline="0" showAll="0"/>
    <pivotField compact="0" outline="0" showAll="0"/>
    <pivotField compact="0" numFmtId="14" outline="0" showAll="0"/>
    <pivotField dataField="1" compact="0" outline="0" showAll="0"/>
    <pivotField axis="axisRow" compact="0" outline="0" showAll="0">
      <items count="3">
        <item x="1"/>
        <item x="0"/>
        <item t="default"/>
      </items>
    </pivotField>
    <pivotField compact="0" outline="0" showAll="0"/>
  </pivotFields>
  <rowFields count="1">
    <field x="6"/>
  </rowFields>
  <rowItems count="3">
    <i>
      <x/>
    </i>
    <i>
      <x v="1"/>
    </i>
    <i t="grand">
      <x/>
    </i>
  </rowItems>
  <colItems count="1">
    <i/>
  </colItems>
  <dataFields count="1">
    <dataField name="Average of HbA1c (%)" fld="5" subtotal="average"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DC402A-0C93-4C84-8C64-35C16F308458}" name="PivotTable4" cacheId="319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B8" firstHeaderRow="1" firstDataRow="1" firstDataCol="1"/>
  <pivotFields count="8">
    <pivotField compact="0" outline="0" showAll="0"/>
    <pivotField compact="0" outline="0" showAll="0"/>
    <pivotField compact="0" outline="0" showAll="0"/>
    <pivotField compact="0" outline="0" showAll="0"/>
    <pivotField compact="0" numFmtId="14" outline="0" showAll="0"/>
    <pivotField dataField="1" compact="0" outline="0" showAll="0"/>
    <pivotField compact="0" outline="0" showAll="0"/>
    <pivotField axis="axisRow" compact="0" outline="0" showAll="0">
      <items count="5">
        <item x="1"/>
        <item x="0"/>
        <item x="3"/>
        <item x="2"/>
        <item t="default"/>
      </items>
    </pivotField>
  </pivotFields>
  <rowFields count="1">
    <field x="7"/>
  </rowFields>
  <rowItems count="5">
    <i>
      <x/>
    </i>
    <i>
      <x v="1"/>
    </i>
    <i>
      <x v="2"/>
    </i>
    <i>
      <x v="3"/>
    </i>
    <i t="grand">
      <x/>
    </i>
  </rowItems>
  <colItems count="1">
    <i/>
  </colItems>
  <dataFields count="1">
    <dataField name="Sum of HbA1c (%)" fld="5"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DD25E-9E20-40A7-B6B9-AC5EB8AF64C4}">
  <dimension ref="A3:B7"/>
  <sheetViews>
    <sheetView workbookViewId="0">
      <selection activeCell="A3" sqref="A3"/>
    </sheetView>
  </sheetViews>
  <sheetFormatPr defaultRowHeight="15"/>
  <cols>
    <col min="1" max="1" width="11.42578125" bestFit="1" customWidth="1"/>
    <col min="2" max="2" width="20.28515625" bestFit="1" customWidth="1"/>
  </cols>
  <sheetData>
    <row r="3" spans="1:2">
      <c r="A3" s="10" t="s">
        <v>0</v>
      </c>
      <c r="B3" t="s">
        <v>1</v>
      </c>
    </row>
    <row r="4" spans="1:2">
      <c r="A4" s="11">
        <v>45658</v>
      </c>
      <c r="B4" s="12">
        <v>9.3166666666666647</v>
      </c>
    </row>
    <row r="5" spans="1:2">
      <c r="A5" s="11">
        <v>45660</v>
      </c>
      <c r="B5" s="12">
        <v>9.0166666666666657</v>
      </c>
    </row>
    <row r="6" spans="1:2">
      <c r="A6" s="11">
        <v>45663</v>
      </c>
      <c r="B6" s="12">
        <v>8.5833333333333339</v>
      </c>
    </row>
    <row r="7" spans="1:2">
      <c r="A7" s="11" t="s">
        <v>2</v>
      </c>
      <c r="B7" s="12">
        <v>8.9722222222222214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4F217-DF32-48CE-9355-27AFDF89BF78}">
  <dimension ref="A3:B8"/>
  <sheetViews>
    <sheetView workbookViewId="0">
      <selection activeCell="A3" sqref="A3"/>
    </sheetView>
  </sheetViews>
  <sheetFormatPr defaultRowHeight="15"/>
  <cols>
    <col min="1" max="1" width="13.85546875" bestFit="1" customWidth="1"/>
    <col min="2" max="2" width="20.28515625" bestFit="1" customWidth="1"/>
  </cols>
  <sheetData>
    <row r="3" spans="1:2">
      <c r="A3" s="10" t="s">
        <v>3</v>
      </c>
      <c r="B3" t="s">
        <v>1</v>
      </c>
    </row>
    <row r="4" spans="1:2">
      <c r="A4" t="s">
        <v>4</v>
      </c>
      <c r="B4" s="12">
        <v>8.5</v>
      </c>
    </row>
    <row r="5" spans="1:2">
      <c r="A5" t="s">
        <v>5</v>
      </c>
      <c r="B5" s="12">
        <v>9.1166666666666671</v>
      </c>
    </row>
    <row r="6" spans="1:2">
      <c r="A6" t="s">
        <v>6</v>
      </c>
      <c r="B6" s="12">
        <v>9.0166666666666675</v>
      </c>
    </row>
    <row r="7" spans="1:2">
      <c r="A7" t="s">
        <v>7</v>
      </c>
      <c r="B7" s="12">
        <v>9.0666666666666664</v>
      </c>
    </row>
    <row r="8" spans="1:2">
      <c r="A8" t="s">
        <v>2</v>
      </c>
      <c r="B8" s="12">
        <v>8.9722222222222214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80B16-E2CF-40D5-9DF4-B436EC580FC8}">
  <dimension ref="A3:B6"/>
  <sheetViews>
    <sheetView workbookViewId="0">
      <selection activeCell="A3" sqref="A3"/>
    </sheetView>
  </sheetViews>
  <sheetFormatPr defaultRowHeight="15"/>
  <cols>
    <col min="1" max="1" width="25.28515625" bestFit="1" customWidth="1"/>
    <col min="2" max="2" width="20.28515625" bestFit="1" customWidth="1"/>
  </cols>
  <sheetData>
    <row r="3" spans="1:2">
      <c r="A3" s="10" t="s">
        <v>8</v>
      </c>
      <c r="B3" t="s">
        <v>1</v>
      </c>
    </row>
    <row r="4" spans="1:2">
      <c r="A4" t="s">
        <v>9</v>
      </c>
      <c r="B4" s="12">
        <v>9.84</v>
      </c>
    </row>
    <row r="5" spans="1:2">
      <c r="A5" t="s">
        <v>10</v>
      </c>
      <c r="B5" s="12">
        <v>8.638461538461538</v>
      </c>
    </row>
    <row r="6" spans="1:2">
      <c r="A6" t="s">
        <v>2</v>
      </c>
      <c r="B6" s="12">
        <v>8.9722222222222214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B78B3-F7FE-49C3-BCDC-73B0A15FD46A}">
  <dimension ref="A3:B8"/>
  <sheetViews>
    <sheetView workbookViewId="0">
      <selection activeCell="A3" sqref="A3"/>
    </sheetView>
  </sheetViews>
  <sheetFormatPr defaultRowHeight="15"/>
  <cols>
    <col min="1" max="1" width="20.28515625" bestFit="1" customWidth="1"/>
    <col min="2" max="2" width="17" bestFit="1" customWidth="1"/>
  </cols>
  <sheetData>
    <row r="3" spans="1:2">
      <c r="A3" s="10" t="s">
        <v>11</v>
      </c>
      <c r="B3" t="s">
        <v>12</v>
      </c>
    </row>
    <row r="4" spans="1:2">
      <c r="A4" t="s">
        <v>13</v>
      </c>
      <c r="B4" s="12">
        <v>23.9</v>
      </c>
    </row>
    <row r="5" spans="1:2">
      <c r="A5" t="s">
        <v>14</v>
      </c>
      <c r="B5" s="12">
        <v>64.2</v>
      </c>
    </row>
    <row r="6" spans="1:2">
      <c r="A6" t="s">
        <v>15</v>
      </c>
      <c r="B6" s="12">
        <v>24.200000000000003</v>
      </c>
    </row>
    <row r="7" spans="1:2">
      <c r="A7" t="s">
        <v>16</v>
      </c>
      <c r="B7" s="12">
        <v>49.199999999999996</v>
      </c>
    </row>
    <row r="8" spans="1:2">
      <c r="A8" t="s">
        <v>2</v>
      </c>
      <c r="B8" s="12">
        <v>161.5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workbookViewId="0">
      <selection activeCell="B2" sqref="B2"/>
    </sheetView>
  </sheetViews>
  <sheetFormatPr defaultRowHeight="15"/>
  <cols>
    <col min="1" max="1" width="13.85546875" customWidth="1"/>
    <col min="2" max="2" width="12.42578125" customWidth="1"/>
    <col min="4" max="4" width="15.5703125" customWidth="1"/>
    <col min="5" max="5" width="12.28515625" customWidth="1"/>
    <col min="6" max="6" width="12.5703125" customWidth="1"/>
    <col min="7" max="8" width="18.7109375" customWidth="1"/>
  </cols>
  <sheetData>
    <row r="1" spans="1:8" ht="66">
      <c r="A1" s="7" t="s">
        <v>17</v>
      </c>
      <c r="B1" s="7" t="s">
        <v>3</v>
      </c>
      <c r="C1" s="7" t="s">
        <v>18</v>
      </c>
      <c r="D1" s="7" t="s">
        <v>19</v>
      </c>
      <c r="E1" s="7" t="s">
        <v>0</v>
      </c>
      <c r="F1" s="7" t="s">
        <v>20</v>
      </c>
      <c r="G1" s="7" t="s">
        <v>8</v>
      </c>
      <c r="H1" s="7" t="s">
        <v>11</v>
      </c>
    </row>
    <row r="2" spans="1:8" ht="33">
      <c r="A2" s="8" t="s">
        <v>21</v>
      </c>
      <c r="B2" s="8" t="s">
        <v>4</v>
      </c>
      <c r="C2" s="8" t="s">
        <v>22</v>
      </c>
      <c r="D2" s="8" t="s">
        <v>23</v>
      </c>
      <c r="E2" s="9">
        <v>45658</v>
      </c>
      <c r="F2" s="8">
        <v>9.1999999999999993</v>
      </c>
      <c r="G2" s="8" t="s">
        <v>10</v>
      </c>
      <c r="H2" s="8" t="s">
        <v>14</v>
      </c>
    </row>
    <row r="3" spans="1:8" ht="33">
      <c r="A3" s="8" t="s">
        <v>21</v>
      </c>
      <c r="B3" s="8" t="s">
        <v>4</v>
      </c>
      <c r="C3" s="8" t="s">
        <v>22</v>
      </c>
      <c r="D3" s="8" t="s">
        <v>23</v>
      </c>
      <c r="E3" s="9">
        <v>45660</v>
      </c>
      <c r="F3" s="8">
        <v>8.5</v>
      </c>
      <c r="G3" s="8" t="s">
        <v>10</v>
      </c>
      <c r="H3" s="8" t="s">
        <v>14</v>
      </c>
    </row>
    <row r="4" spans="1:8" ht="33">
      <c r="A4" s="8" t="s">
        <v>21</v>
      </c>
      <c r="B4" s="8" t="s">
        <v>4</v>
      </c>
      <c r="C4" s="8" t="s">
        <v>22</v>
      </c>
      <c r="D4" s="8" t="s">
        <v>23</v>
      </c>
      <c r="E4" s="9">
        <v>45663</v>
      </c>
      <c r="F4" s="8">
        <v>7.8</v>
      </c>
      <c r="G4" s="8" t="s">
        <v>10</v>
      </c>
      <c r="H4" s="8" t="s">
        <v>13</v>
      </c>
    </row>
    <row r="5" spans="1:8" ht="16.5">
      <c r="A5" s="8" t="s">
        <v>24</v>
      </c>
      <c r="B5" s="8" t="s">
        <v>5</v>
      </c>
      <c r="C5" s="8" t="s">
        <v>25</v>
      </c>
      <c r="D5" s="8" t="s">
        <v>23</v>
      </c>
      <c r="E5" s="9">
        <v>45658</v>
      </c>
      <c r="F5" s="8">
        <v>10.1</v>
      </c>
      <c r="G5" s="8" t="s">
        <v>9</v>
      </c>
      <c r="H5" s="8" t="s">
        <v>16</v>
      </c>
    </row>
    <row r="6" spans="1:8" ht="16.5">
      <c r="A6" s="8" t="s">
        <v>24</v>
      </c>
      <c r="B6" s="8" t="s">
        <v>5</v>
      </c>
      <c r="C6" s="8" t="s">
        <v>25</v>
      </c>
      <c r="D6" s="8" t="s">
        <v>23</v>
      </c>
      <c r="E6" s="9">
        <v>45660</v>
      </c>
      <c r="F6" s="8">
        <v>10.4</v>
      </c>
      <c r="G6" s="8" t="s">
        <v>9</v>
      </c>
      <c r="H6" s="8" t="s">
        <v>16</v>
      </c>
    </row>
    <row r="7" spans="1:8" ht="33">
      <c r="A7" s="8" t="s">
        <v>24</v>
      </c>
      <c r="B7" s="8" t="s">
        <v>5</v>
      </c>
      <c r="C7" s="8" t="s">
        <v>25</v>
      </c>
      <c r="D7" s="8" t="s">
        <v>23</v>
      </c>
      <c r="E7" s="9">
        <v>45663</v>
      </c>
      <c r="F7" s="8">
        <v>10</v>
      </c>
      <c r="G7" s="8" t="s">
        <v>10</v>
      </c>
      <c r="H7" s="8" t="s">
        <v>14</v>
      </c>
    </row>
    <row r="8" spans="1:8" ht="33">
      <c r="A8" s="8" t="s">
        <v>26</v>
      </c>
      <c r="B8" s="8" t="s">
        <v>6</v>
      </c>
      <c r="C8" s="8" t="s">
        <v>22</v>
      </c>
      <c r="D8" s="8" t="s">
        <v>23</v>
      </c>
      <c r="E8" s="9">
        <v>45658</v>
      </c>
      <c r="F8" s="8">
        <v>8.8000000000000007</v>
      </c>
      <c r="G8" s="8" t="s">
        <v>10</v>
      </c>
      <c r="H8" s="8" t="s">
        <v>14</v>
      </c>
    </row>
    <row r="9" spans="1:8" ht="33">
      <c r="A9" s="8" t="s">
        <v>26</v>
      </c>
      <c r="B9" s="8" t="s">
        <v>6</v>
      </c>
      <c r="C9" s="8" t="s">
        <v>22</v>
      </c>
      <c r="D9" s="8" t="s">
        <v>23</v>
      </c>
      <c r="E9" s="9">
        <v>45660</v>
      </c>
      <c r="F9" s="8">
        <v>8.1999999999999993</v>
      </c>
      <c r="G9" s="8" t="s">
        <v>10</v>
      </c>
      <c r="H9" s="8" t="s">
        <v>13</v>
      </c>
    </row>
    <row r="10" spans="1:8" ht="33">
      <c r="A10" s="8" t="s">
        <v>26</v>
      </c>
      <c r="B10" s="8" t="s">
        <v>6</v>
      </c>
      <c r="C10" s="8" t="s">
        <v>22</v>
      </c>
      <c r="D10" s="8" t="s">
        <v>23</v>
      </c>
      <c r="E10" s="9">
        <v>45663</v>
      </c>
      <c r="F10" s="8">
        <v>7.9</v>
      </c>
      <c r="G10" s="8" t="s">
        <v>10</v>
      </c>
      <c r="H10" s="8" t="s">
        <v>13</v>
      </c>
    </row>
    <row r="11" spans="1:8" ht="33">
      <c r="A11" s="8" t="s">
        <v>27</v>
      </c>
      <c r="B11" s="8" t="s">
        <v>7</v>
      </c>
      <c r="C11" s="8" t="s">
        <v>25</v>
      </c>
      <c r="D11" s="8" t="s">
        <v>23</v>
      </c>
      <c r="E11" s="9">
        <v>45658</v>
      </c>
      <c r="F11" s="8">
        <v>9.5</v>
      </c>
      <c r="G11" s="8" t="s">
        <v>10</v>
      </c>
      <c r="H11" s="8" t="s">
        <v>14</v>
      </c>
    </row>
    <row r="12" spans="1:8" ht="16.5">
      <c r="A12" s="8" t="s">
        <v>27</v>
      </c>
      <c r="B12" s="8" t="s">
        <v>7</v>
      </c>
      <c r="C12" s="8" t="s">
        <v>25</v>
      </c>
      <c r="D12" s="8" t="s">
        <v>23</v>
      </c>
      <c r="E12" s="9">
        <v>45660</v>
      </c>
      <c r="F12" s="8">
        <v>9</v>
      </c>
      <c r="G12" s="8" t="s">
        <v>9</v>
      </c>
      <c r="H12" s="8" t="s">
        <v>16</v>
      </c>
    </row>
    <row r="13" spans="1:8" ht="33">
      <c r="A13" s="8" t="s">
        <v>27</v>
      </c>
      <c r="B13" s="8" t="s">
        <v>7</v>
      </c>
      <c r="C13" s="8" t="s">
        <v>25</v>
      </c>
      <c r="D13" s="8" t="s">
        <v>23</v>
      </c>
      <c r="E13" s="9">
        <v>45663</v>
      </c>
      <c r="F13" s="8">
        <v>8.6999999999999993</v>
      </c>
      <c r="G13" s="8" t="s">
        <v>10</v>
      </c>
      <c r="H13" s="8" t="s">
        <v>14</v>
      </c>
    </row>
    <row r="14" spans="1:8" ht="33">
      <c r="A14" s="8" t="s">
        <v>28</v>
      </c>
      <c r="B14" s="8" t="s">
        <v>5</v>
      </c>
      <c r="C14" s="8" t="s">
        <v>22</v>
      </c>
      <c r="D14" s="8" t="s">
        <v>29</v>
      </c>
      <c r="E14" s="9">
        <v>45658</v>
      </c>
      <c r="F14" s="8">
        <v>8.5</v>
      </c>
      <c r="G14" s="8" t="s">
        <v>10</v>
      </c>
      <c r="H14" s="8" t="s">
        <v>15</v>
      </c>
    </row>
    <row r="15" spans="1:8" ht="33">
      <c r="A15" s="8" t="s">
        <v>28</v>
      </c>
      <c r="B15" s="8" t="s">
        <v>5</v>
      </c>
      <c r="C15" s="8" t="s">
        <v>22</v>
      </c>
      <c r="D15" s="8" t="s">
        <v>29</v>
      </c>
      <c r="E15" s="9">
        <v>45660</v>
      </c>
      <c r="F15" s="8">
        <v>8.1</v>
      </c>
      <c r="G15" s="8" t="s">
        <v>10</v>
      </c>
      <c r="H15" s="8" t="s">
        <v>15</v>
      </c>
    </row>
    <row r="16" spans="1:8" ht="33">
      <c r="A16" s="8" t="s">
        <v>28</v>
      </c>
      <c r="B16" s="8" t="s">
        <v>5</v>
      </c>
      <c r="C16" s="8" t="s">
        <v>22</v>
      </c>
      <c r="D16" s="8" t="s">
        <v>29</v>
      </c>
      <c r="E16" s="9">
        <v>45663</v>
      </c>
      <c r="F16" s="8">
        <v>7.6</v>
      </c>
      <c r="G16" s="8" t="s">
        <v>10</v>
      </c>
      <c r="H16" s="8" t="s">
        <v>15</v>
      </c>
    </row>
    <row r="17" spans="1:8" ht="16.5">
      <c r="A17" s="8" t="s">
        <v>30</v>
      </c>
      <c r="B17" s="8" t="s">
        <v>6</v>
      </c>
      <c r="C17" s="8" t="s">
        <v>25</v>
      </c>
      <c r="D17" s="8" t="s">
        <v>23</v>
      </c>
      <c r="E17" s="9">
        <v>45658</v>
      </c>
      <c r="F17" s="8">
        <v>9.8000000000000007</v>
      </c>
      <c r="G17" s="8" t="s">
        <v>9</v>
      </c>
      <c r="H17" s="8" t="s">
        <v>16</v>
      </c>
    </row>
    <row r="18" spans="1:8" ht="16.5">
      <c r="A18" s="8" t="s">
        <v>30</v>
      </c>
      <c r="B18" s="8" t="s">
        <v>6</v>
      </c>
      <c r="C18" s="8" t="s">
        <v>25</v>
      </c>
      <c r="D18" s="8" t="s">
        <v>23</v>
      </c>
      <c r="E18" s="9">
        <v>45660</v>
      </c>
      <c r="F18" s="8">
        <v>9.9</v>
      </c>
      <c r="G18" s="8" t="s">
        <v>9</v>
      </c>
      <c r="H18" s="8" t="s">
        <v>16</v>
      </c>
    </row>
    <row r="19" spans="1:8" ht="33">
      <c r="A19" s="8" t="s">
        <v>30</v>
      </c>
      <c r="B19" s="8" t="s">
        <v>6</v>
      </c>
      <c r="C19" s="8" t="s">
        <v>25</v>
      </c>
      <c r="D19" s="8" t="s">
        <v>23</v>
      </c>
      <c r="E19" s="9">
        <v>45663</v>
      </c>
      <c r="F19" s="8">
        <v>9.5</v>
      </c>
      <c r="G19" s="8" t="s">
        <v>10</v>
      </c>
      <c r="H19" s="8" t="s">
        <v>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275C2-A0C0-492F-A7F1-FBFF1588D91D}">
  <dimension ref="A1:F64"/>
  <sheetViews>
    <sheetView showGridLines="0" tabSelected="1" topLeftCell="A34" workbookViewId="0">
      <selection activeCell="A2" sqref="A2:XFD2"/>
    </sheetView>
  </sheetViews>
  <sheetFormatPr defaultRowHeight="15"/>
  <cols>
    <col min="1" max="1" width="15.42578125" customWidth="1"/>
  </cols>
  <sheetData>
    <row r="1" spans="1:6" ht="26.25">
      <c r="F1" s="15" t="s">
        <v>31</v>
      </c>
    </row>
    <row r="4" spans="1:6">
      <c r="A4" s="3" t="s">
        <v>32</v>
      </c>
      <c r="B4" s="3" t="s">
        <v>33</v>
      </c>
    </row>
    <row r="5" spans="1:6">
      <c r="A5" s="5" t="s">
        <v>34</v>
      </c>
      <c r="B5" s="14">
        <f>AVERAGE(HbA1c_Data!F2:F100)</f>
        <v>8.9722222222222232</v>
      </c>
    </row>
    <row r="6" spans="1:6">
      <c r="A6" s="5" t="s">
        <v>35</v>
      </c>
      <c r="B6" s="13">
        <f>COUNTIF(HbA1c_Data!G2:G100,"Yes")/COUNTA(HbA1c_Data!A2:A100)</f>
        <v>0.72222222222222221</v>
      </c>
    </row>
    <row r="7" spans="1:6">
      <c r="A7" s="5" t="s">
        <v>36</v>
      </c>
      <c r="B7" s="5">
        <f>COUNTA(HbA1c_Data!A2:A100)</f>
        <v>18</v>
      </c>
    </row>
    <row r="8" spans="1:6">
      <c r="A8" s="5" t="s">
        <v>37</v>
      </c>
      <c r="B8" s="5">
        <f>COUNTIF(HbA1c_Data!G2:G100,"Yes")</f>
        <v>13</v>
      </c>
    </row>
    <row r="59" spans="1:1">
      <c r="A59" t="s">
        <v>38</v>
      </c>
    </row>
    <row r="60" spans="1:1">
      <c r="A60" t="s">
        <v>39</v>
      </c>
    </row>
    <row r="61" spans="1:1">
      <c r="A61" t="s">
        <v>40</v>
      </c>
    </row>
    <row r="62" spans="1:1">
      <c r="A62" t="s">
        <v>41</v>
      </c>
    </row>
    <row r="63" spans="1:1">
      <c r="A63" t="s">
        <v>42</v>
      </c>
    </row>
    <row r="64" spans="1:1">
      <c r="A64" t="s">
        <v>43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E8D1-87DC-4537-B640-D9045C3EF2D0}">
  <dimension ref="A1:E63"/>
  <sheetViews>
    <sheetView workbookViewId="0"/>
  </sheetViews>
  <sheetFormatPr defaultRowHeight="15"/>
  <cols>
    <col min="1" max="1" width="20.140625" bestFit="1" customWidth="1"/>
    <col min="2" max="2" width="17.42578125" bestFit="1" customWidth="1"/>
  </cols>
  <sheetData>
    <row r="1" spans="1:5" ht="24">
      <c r="C1" s="1" t="s">
        <v>44</v>
      </c>
      <c r="D1" s="1"/>
      <c r="E1" s="1"/>
    </row>
    <row r="3" spans="1:5">
      <c r="A3" t="s">
        <v>45</v>
      </c>
    </row>
    <row r="5" spans="1:5">
      <c r="A5" t="s">
        <v>46</v>
      </c>
    </row>
    <row r="7" spans="1:5">
      <c r="A7" t="s">
        <v>47</v>
      </c>
    </row>
    <row r="11" spans="1:5">
      <c r="A11" t="s">
        <v>48</v>
      </c>
      <c r="B11" t="s">
        <v>49</v>
      </c>
    </row>
    <row r="12" spans="1:5">
      <c r="A12" t="s">
        <v>50</v>
      </c>
      <c r="B12">
        <v>7</v>
      </c>
    </row>
    <row r="13" spans="1:5">
      <c r="A13" t="s">
        <v>51</v>
      </c>
      <c r="B13">
        <v>6</v>
      </c>
    </row>
    <row r="14" spans="1:5">
      <c r="A14" t="s">
        <v>52</v>
      </c>
      <c r="B14">
        <v>6</v>
      </c>
    </row>
    <row r="15" spans="1:5">
      <c r="A15" t="s">
        <v>53</v>
      </c>
      <c r="B15">
        <v>5</v>
      </c>
    </row>
    <row r="16" spans="1:5">
      <c r="A16" t="s">
        <v>54</v>
      </c>
      <c r="B16">
        <v>6</v>
      </c>
    </row>
    <row r="17" spans="1:2">
      <c r="A17" t="s">
        <v>2</v>
      </c>
      <c r="B17">
        <v>30</v>
      </c>
    </row>
    <row r="29" spans="1:2">
      <c r="A29" t="s">
        <v>55</v>
      </c>
      <c r="B29" t="s">
        <v>49</v>
      </c>
    </row>
    <row r="30" spans="1:2">
      <c r="A30" t="s">
        <v>56</v>
      </c>
      <c r="B30">
        <v>10</v>
      </c>
    </row>
    <row r="31" spans="1:2">
      <c r="A31" t="s">
        <v>57</v>
      </c>
      <c r="B31">
        <v>10</v>
      </c>
    </row>
    <row r="32" spans="1:2">
      <c r="A32" t="s">
        <v>58</v>
      </c>
      <c r="B32">
        <v>10</v>
      </c>
    </row>
    <row r="33" spans="1:2">
      <c r="A33" t="s">
        <v>2</v>
      </c>
      <c r="B33">
        <v>30</v>
      </c>
    </row>
    <row r="48" spans="1:2">
      <c r="A48" t="s">
        <v>3</v>
      </c>
      <c r="B48" t="s">
        <v>49</v>
      </c>
    </row>
    <row r="49" spans="1:2">
      <c r="A49" t="s">
        <v>4</v>
      </c>
      <c r="B49">
        <v>9</v>
      </c>
    </row>
    <row r="50" spans="1:2">
      <c r="A50" t="s">
        <v>5</v>
      </c>
      <c r="B50">
        <v>9</v>
      </c>
    </row>
    <row r="51" spans="1:2">
      <c r="A51" t="s">
        <v>6</v>
      </c>
      <c r="B51">
        <v>6</v>
      </c>
    </row>
    <row r="52" spans="1:2">
      <c r="A52" t="s">
        <v>7</v>
      </c>
      <c r="B52">
        <v>6</v>
      </c>
    </row>
    <row r="53" spans="1:2">
      <c r="A53" t="s">
        <v>2</v>
      </c>
      <c r="B53">
        <v>30</v>
      </c>
    </row>
    <row r="63" spans="1:2">
      <c r="A63" t="s">
        <v>59</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21FF3-5740-4CC8-A3C4-BE82AC8D7AB4}">
  <dimension ref="A1:F31"/>
  <sheetViews>
    <sheetView workbookViewId="0"/>
  </sheetViews>
  <sheetFormatPr defaultRowHeight="15"/>
  <cols>
    <col min="1" max="1" width="12" customWidth="1"/>
    <col min="2" max="2" width="11.42578125" customWidth="1"/>
    <col min="3" max="3" width="21" customWidth="1"/>
    <col min="4" max="5" width="15.85546875" customWidth="1"/>
  </cols>
  <sheetData>
    <row r="1" spans="1:6" ht="16.5">
      <c r="A1" s="2" t="s">
        <v>17</v>
      </c>
      <c r="B1" s="3" t="s">
        <v>3</v>
      </c>
      <c r="C1" s="3" t="s">
        <v>55</v>
      </c>
      <c r="D1" s="3" t="s">
        <v>48</v>
      </c>
      <c r="E1" s="3" t="s">
        <v>60</v>
      </c>
      <c r="F1" s="3" t="s">
        <v>61</v>
      </c>
    </row>
    <row r="2" spans="1:6" ht="16.5">
      <c r="A2" s="4" t="s">
        <v>21</v>
      </c>
      <c r="B2" s="5" t="s">
        <v>4</v>
      </c>
      <c r="C2" s="5" t="s">
        <v>57</v>
      </c>
      <c r="D2" s="5" t="s">
        <v>50</v>
      </c>
      <c r="E2" s="5">
        <v>5</v>
      </c>
      <c r="F2" s="5" t="s">
        <v>10</v>
      </c>
    </row>
    <row r="3" spans="1:6" ht="16.5">
      <c r="A3" s="4" t="s">
        <v>24</v>
      </c>
      <c r="B3" s="5" t="s">
        <v>5</v>
      </c>
      <c r="C3" s="5" t="s">
        <v>56</v>
      </c>
      <c r="D3" s="5" t="s">
        <v>52</v>
      </c>
      <c r="E3" s="5">
        <v>18</v>
      </c>
      <c r="F3" s="5" t="s">
        <v>9</v>
      </c>
    </row>
    <row r="4" spans="1:6" ht="16.5">
      <c r="A4" s="4" t="s">
        <v>26</v>
      </c>
      <c r="B4" s="5" t="s">
        <v>6</v>
      </c>
      <c r="C4" s="5" t="s">
        <v>58</v>
      </c>
      <c r="D4" s="5" t="s">
        <v>54</v>
      </c>
      <c r="E4" s="5">
        <v>7</v>
      </c>
      <c r="F4" s="5" t="s">
        <v>10</v>
      </c>
    </row>
    <row r="5" spans="1:6" ht="16.5">
      <c r="A5" s="4" t="s">
        <v>27</v>
      </c>
      <c r="B5" s="5" t="s">
        <v>4</v>
      </c>
      <c r="C5" s="5" t="s">
        <v>57</v>
      </c>
      <c r="D5" s="5" t="s">
        <v>51</v>
      </c>
      <c r="E5" s="5">
        <v>12</v>
      </c>
      <c r="F5" s="5" t="s">
        <v>9</v>
      </c>
    </row>
    <row r="6" spans="1:6" ht="16.5">
      <c r="A6" s="4" t="s">
        <v>28</v>
      </c>
      <c r="B6" s="5" t="s">
        <v>7</v>
      </c>
      <c r="C6" s="5" t="s">
        <v>56</v>
      </c>
      <c r="D6" s="5" t="s">
        <v>53</v>
      </c>
      <c r="E6" s="5">
        <v>4</v>
      </c>
      <c r="F6" s="5" t="s">
        <v>10</v>
      </c>
    </row>
    <row r="7" spans="1:6" ht="16.5">
      <c r="A7" s="4" t="s">
        <v>30</v>
      </c>
      <c r="B7" s="5" t="s">
        <v>5</v>
      </c>
      <c r="C7" s="5" t="s">
        <v>58</v>
      </c>
      <c r="D7" s="5" t="s">
        <v>50</v>
      </c>
      <c r="E7" s="5">
        <v>21</v>
      </c>
      <c r="F7" s="5" t="s">
        <v>9</v>
      </c>
    </row>
    <row r="8" spans="1:6" ht="16.5">
      <c r="A8" s="4" t="s">
        <v>62</v>
      </c>
      <c r="B8" s="5" t="s">
        <v>4</v>
      </c>
      <c r="C8" s="5" t="s">
        <v>57</v>
      </c>
      <c r="D8" s="5" t="s">
        <v>54</v>
      </c>
      <c r="E8" s="5">
        <v>3</v>
      </c>
      <c r="F8" s="5" t="s">
        <v>10</v>
      </c>
    </row>
    <row r="9" spans="1:6" ht="16.5">
      <c r="A9" s="4" t="s">
        <v>63</v>
      </c>
      <c r="B9" s="5" t="s">
        <v>6</v>
      </c>
      <c r="C9" s="5" t="s">
        <v>56</v>
      </c>
      <c r="D9" s="5" t="s">
        <v>52</v>
      </c>
      <c r="E9" s="5">
        <v>16</v>
      </c>
      <c r="F9" s="5" t="s">
        <v>9</v>
      </c>
    </row>
    <row r="10" spans="1:6" ht="16.5">
      <c r="A10" s="4" t="s">
        <v>64</v>
      </c>
      <c r="B10" s="5" t="s">
        <v>5</v>
      </c>
      <c r="C10" s="5" t="s">
        <v>58</v>
      </c>
      <c r="D10" s="5" t="s">
        <v>51</v>
      </c>
      <c r="E10" s="5">
        <v>9</v>
      </c>
      <c r="F10" s="5" t="s">
        <v>10</v>
      </c>
    </row>
    <row r="11" spans="1:6" ht="16.5">
      <c r="A11" s="4" t="s">
        <v>65</v>
      </c>
      <c r="B11" s="5" t="s">
        <v>7</v>
      </c>
      <c r="C11" s="5" t="s">
        <v>57</v>
      </c>
      <c r="D11" s="5" t="s">
        <v>50</v>
      </c>
      <c r="E11" s="5">
        <v>14</v>
      </c>
      <c r="F11" s="5" t="s">
        <v>9</v>
      </c>
    </row>
    <row r="12" spans="1:6" ht="16.5">
      <c r="A12" s="4" t="s">
        <v>66</v>
      </c>
      <c r="B12" s="5" t="s">
        <v>4</v>
      </c>
      <c r="C12" s="5" t="s">
        <v>58</v>
      </c>
      <c r="D12" s="5" t="s">
        <v>53</v>
      </c>
      <c r="E12" s="5">
        <v>6</v>
      </c>
      <c r="F12" s="5" t="s">
        <v>10</v>
      </c>
    </row>
    <row r="13" spans="1:6" ht="16.5">
      <c r="A13" s="4" t="s">
        <v>67</v>
      </c>
      <c r="B13" s="5" t="s">
        <v>5</v>
      </c>
      <c r="C13" s="5" t="s">
        <v>56</v>
      </c>
      <c r="D13" s="5" t="s">
        <v>54</v>
      </c>
      <c r="E13" s="5">
        <v>22</v>
      </c>
      <c r="F13" s="5" t="s">
        <v>9</v>
      </c>
    </row>
    <row r="14" spans="1:6" ht="16.5">
      <c r="A14" s="4" t="s">
        <v>68</v>
      </c>
      <c r="B14" s="5" t="s">
        <v>6</v>
      </c>
      <c r="C14" s="5" t="s">
        <v>57</v>
      </c>
      <c r="D14" s="5" t="s">
        <v>51</v>
      </c>
      <c r="E14" s="5">
        <v>8</v>
      </c>
      <c r="F14" s="5" t="s">
        <v>10</v>
      </c>
    </row>
    <row r="15" spans="1:6" ht="16.5">
      <c r="A15" s="4" t="s">
        <v>69</v>
      </c>
      <c r="B15" s="5" t="s">
        <v>4</v>
      </c>
      <c r="C15" s="5" t="s">
        <v>58</v>
      </c>
      <c r="D15" s="5" t="s">
        <v>50</v>
      </c>
      <c r="E15" s="5">
        <v>17</v>
      </c>
      <c r="F15" s="5" t="s">
        <v>9</v>
      </c>
    </row>
    <row r="16" spans="1:6" ht="16.5">
      <c r="A16" s="4" t="s">
        <v>70</v>
      </c>
      <c r="B16" s="5" t="s">
        <v>7</v>
      </c>
      <c r="C16" s="5" t="s">
        <v>56</v>
      </c>
      <c r="D16" s="5" t="s">
        <v>52</v>
      </c>
      <c r="E16" s="5">
        <v>10</v>
      </c>
      <c r="F16" s="5" t="s">
        <v>10</v>
      </c>
    </row>
    <row r="17" spans="1:6" ht="16.5">
      <c r="A17" s="4" t="s">
        <v>71</v>
      </c>
      <c r="B17" s="5" t="s">
        <v>5</v>
      </c>
      <c r="C17" s="5" t="s">
        <v>57</v>
      </c>
      <c r="D17" s="5" t="s">
        <v>53</v>
      </c>
      <c r="E17" s="5">
        <v>19</v>
      </c>
      <c r="F17" s="5" t="s">
        <v>9</v>
      </c>
    </row>
    <row r="18" spans="1:6" ht="16.5">
      <c r="A18" s="4" t="s">
        <v>72</v>
      </c>
      <c r="B18" s="5" t="s">
        <v>4</v>
      </c>
      <c r="C18" s="5" t="s">
        <v>58</v>
      </c>
      <c r="D18" s="5" t="s">
        <v>54</v>
      </c>
      <c r="E18" s="5">
        <v>4</v>
      </c>
      <c r="F18" s="5" t="s">
        <v>10</v>
      </c>
    </row>
    <row r="19" spans="1:6" ht="16.5">
      <c r="A19" s="4" t="s">
        <v>73</v>
      </c>
      <c r="B19" s="5" t="s">
        <v>6</v>
      </c>
      <c r="C19" s="5" t="s">
        <v>56</v>
      </c>
      <c r="D19" s="5" t="s">
        <v>50</v>
      </c>
      <c r="E19" s="5">
        <v>15</v>
      </c>
      <c r="F19" s="5" t="s">
        <v>9</v>
      </c>
    </row>
    <row r="20" spans="1:6" ht="16.5">
      <c r="A20" s="4" t="s">
        <v>74</v>
      </c>
      <c r="B20" s="5" t="s">
        <v>5</v>
      </c>
      <c r="C20" s="5" t="s">
        <v>57</v>
      </c>
      <c r="D20" s="5" t="s">
        <v>51</v>
      </c>
      <c r="E20" s="5">
        <v>7</v>
      </c>
      <c r="F20" s="5" t="s">
        <v>10</v>
      </c>
    </row>
    <row r="21" spans="1:6" ht="16.5">
      <c r="A21" s="4" t="s">
        <v>75</v>
      </c>
      <c r="B21" s="5" t="s">
        <v>7</v>
      </c>
      <c r="C21" s="5" t="s">
        <v>58</v>
      </c>
      <c r="D21" s="5" t="s">
        <v>52</v>
      </c>
      <c r="E21" s="5">
        <v>20</v>
      </c>
      <c r="F21" s="5" t="s">
        <v>9</v>
      </c>
    </row>
    <row r="22" spans="1:6" ht="16.5">
      <c r="A22" s="4" t="s">
        <v>76</v>
      </c>
      <c r="B22" s="5" t="s">
        <v>4</v>
      </c>
      <c r="C22" s="5" t="s">
        <v>56</v>
      </c>
      <c r="D22" s="5" t="s">
        <v>53</v>
      </c>
      <c r="E22" s="5">
        <v>6</v>
      </c>
      <c r="F22" s="5" t="s">
        <v>10</v>
      </c>
    </row>
    <row r="23" spans="1:6" ht="16.5">
      <c r="A23" s="4" t="s">
        <v>77</v>
      </c>
      <c r="B23" s="5" t="s">
        <v>5</v>
      </c>
      <c r="C23" s="5" t="s">
        <v>58</v>
      </c>
      <c r="D23" s="5" t="s">
        <v>50</v>
      </c>
      <c r="E23" s="5">
        <v>23</v>
      </c>
      <c r="F23" s="5" t="s">
        <v>9</v>
      </c>
    </row>
    <row r="24" spans="1:6" ht="16.5">
      <c r="A24" s="4" t="s">
        <v>78</v>
      </c>
      <c r="B24" s="5" t="s">
        <v>6</v>
      </c>
      <c r="C24" s="5" t="s">
        <v>57</v>
      </c>
      <c r="D24" s="5" t="s">
        <v>54</v>
      </c>
      <c r="E24" s="5">
        <v>9</v>
      </c>
      <c r="F24" s="5" t="s">
        <v>10</v>
      </c>
    </row>
    <row r="25" spans="1:6" ht="16.5">
      <c r="A25" s="4" t="s">
        <v>79</v>
      </c>
      <c r="B25" s="5" t="s">
        <v>4</v>
      </c>
      <c r="C25" s="5" t="s">
        <v>56</v>
      </c>
      <c r="D25" s="5" t="s">
        <v>51</v>
      </c>
      <c r="E25" s="5">
        <v>13</v>
      </c>
      <c r="F25" s="5" t="s">
        <v>9</v>
      </c>
    </row>
    <row r="26" spans="1:6" ht="16.5">
      <c r="A26" s="4" t="s">
        <v>80</v>
      </c>
      <c r="B26" s="5" t="s">
        <v>7</v>
      </c>
      <c r="C26" s="5" t="s">
        <v>58</v>
      </c>
      <c r="D26" s="5" t="s">
        <v>52</v>
      </c>
      <c r="E26" s="5">
        <v>5</v>
      </c>
      <c r="F26" s="5" t="s">
        <v>10</v>
      </c>
    </row>
    <row r="27" spans="1:6" ht="16.5">
      <c r="A27" s="4" t="s">
        <v>81</v>
      </c>
      <c r="B27" s="5" t="s">
        <v>5</v>
      </c>
      <c r="C27" s="5" t="s">
        <v>57</v>
      </c>
      <c r="D27" s="5" t="s">
        <v>53</v>
      </c>
      <c r="E27" s="5">
        <v>18</v>
      </c>
      <c r="F27" s="5" t="s">
        <v>9</v>
      </c>
    </row>
    <row r="28" spans="1:6" ht="16.5">
      <c r="A28" s="4" t="s">
        <v>82</v>
      </c>
      <c r="B28" s="5" t="s">
        <v>6</v>
      </c>
      <c r="C28" s="5" t="s">
        <v>56</v>
      </c>
      <c r="D28" s="5" t="s">
        <v>54</v>
      </c>
      <c r="E28" s="5">
        <v>7</v>
      </c>
      <c r="F28" s="5" t="s">
        <v>10</v>
      </c>
    </row>
    <row r="29" spans="1:6" ht="16.5">
      <c r="A29" s="4" t="s">
        <v>83</v>
      </c>
      <c r="B29" s="5" t="s">
        <v>4</v>
      </c>
      <c r="C29" s="5" t="s">
        <v>58</v>
      </c>
      <c r="D29" s="5" t="s">
        <v>50</v>
      </c>
      <c r="E29" s="5">
        <v>16</v>
      </c>
      <c r="F29" s="5" t="s">
        <v>9</v>
      </c>
    </row>
    <row r="30" spans="1:6" ht="16.5">
      <c r="A30" s="4" t="s">
        <v>84</v>
      </c>
      <c r="B30" s="5" t="s">
        <v>5</v>
      </c>
      <c r="C30" s="5" t="s">
        <v>57</v>
      </c>
      <c r="D30" s="5" t="s">
        <v>51</v>
      </c>
      <c r="E30" s="5">
        <v>6</v>
      </c>
      <c r="F30" s="5" t="s">
        <v>10</v>
      </c>
    </row>
    <row r="31" spans="1:6" ht="16.5">
      <c r="A31" s="4" t="s">
        <v>85</v>
      </c>
      <c r="B31" s="5" t="s">
        <v>7</v>
      </c>
      <c r="C31" s="5" t="s">
        <v>56</v>
      </c>
      <c r="D31" s="5" t="s">
        <v>52</v>
      </c>
      <c r="E31" s="5">
        <v>21</v>
      </c>
      <c r="F31" s="5" t="s">
        <v>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4926A-D753-406D-A9E0-70646B3E856B}">
  <dimension ref="A1:L36"/>
  <sheetViews>
    <sheetView workbookViewId="0"/>
  </sheetViews>
  <sheetFormatPr defaultRowHeight="15"/>
  <cols>
    <col min="1" max="1" width="11.42578125" bestFit="1" customWidth="1"/>
    <col min="2" max="2" width="28" bestFit="1" customWidth="1"/>
  </cols>
  <sheetData>
    <row r="1" spans="1:12" ht="24">
      <c r="E1" s="1" t="s">
        <v>86</v>
      </c>
      <c r="F1" s="1"/>
      <c r="G1" s="1"/>
      <c r="H1" s="1"/>
      <c r="I1" s="1"/>
      <c r="J1" s="6"/>
      <c r="K1" s="6"/>
      <c r="L1" s="6"/>
    </row>
    <row r="3" spans="1:12">
      <c r="A3" t="s">
        <v>87</v>
      </c>
      <c r="B3" t="s">
        <v>88</v>
      </c>
    </row>
    <row r="5" spans="1:12">
      <c r="A5" t="s">
        <v>89</v>
      </c>
    </row>
    <row r="7" spans="1:12">
      <c r="A7" t="s">
        <v>90</v>
      </c>
    </row>
    <row r="11" spans="1:12">
      <c r="A11" t="s">
        <v>91</v>
      </c>
      <c r="B11" t="s">
        <v>92</v>
      </c>
    </row>
    <row r="12" spans="1:12">
      <c r="A12" t="s">
        <v>93</v>
      </c>
      <c r="B12">
        <v>-2.44</v>
      </c>
    </row>
    <row r="13" spans="1:12">
      <c r="A13" t="s">
        <v>94</v>
      </c>
      <c r="B13">
        <v>0.92</v>
      </c>
    </row>
    <row r="14" spans="1:12">
      <c r="A14" t="s">
        <v>2</v>
      </c>
      <c r="B14">
        <v>-0.76</v>
      </c>
    </row>
    <row r="16" spans="1:12">
      <c r="A16" t="s">
        <v>95</v>
      </c>
    </row>
    <row r="36" spans="1:1">
      <c r="A36" t="s">
        <v>96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2026-03-19T13:20:07Z</dcterms:created>
  <dcterms:modified xsi:type="dcterms:W3CDTF">2026-03-19T14:24:55Z</dcterms:modified>
  <cp:category/>
  <cp:contentStatus/>
</cp:coreProperties>
</file>